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demon\Desktop\Agente scraping aziende idonee a bandi\"/>
    </mc:Choice>
  </mc:AlternateContent>
  <xr:revisionPtr revIDLastSave="0" documentId="13_ncr:1_{7A2D914C-E63D-4BFC-AE47-95CB28AE6789}" xr6:coauthVersionLast="47" xr6:coauthVersionMax="47" xr10:uidLastSave="{00000000-0000-0000-0000-000000000000}"/>
  <bookViews>
    <workbookView xWindow="-120" yWindow="-120" windowWidth="38640" windowHeight="21840" xr2:uid="{00000000-000D-0000-FFFF-FFFF00000000}"/>
  </bookViews>
  <sheets>
    <sheet name="Sheet1" sheetId="1" r:id="rId1"/>
  </sheets>
  <definedNames>
    <definedName name="_xlnm._FilterDatabase" localSheetId="0" hidden="1">Sheet1!$A$1:$G$16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6" i="1" l="1"/>
  <c r="F13" i="1"/>
  <c r="F10" i="1"/>
  <c r="G10" i="1" s="1"/>
  <c r="F12" i="1"/>
  <c r="F4" i="1"/>
  <c r="F3" i="1"/>
  <c r="F2" i="1"/>
  <c r="F8" i="1"/>
  <c r="F14" i="1"/>
  <c r="F9" i="1"/>
  <c r="F7" i="1"/>
  <c r="F6" i="1"/>
  <c r="F5" i="1"/>
  <c r="G5" i="1" s="1"/>
  <c r="F11" i="1"/>
  <c r="F15" i="1"/>
  <c r="G16" i="1"/>
  <c r="G13" i="1"/>
  <c r="G12" i="1"/>
  <c r="G4" i="1"/>
  <c r="G3" i="1"/>
  <c r="G2" i="1"/>
  <c r="G8" i="1"/>
  <c r="G14" i="1"/>
  <c r="G9" i="1"/>
  <c r="G7" i="1"/>
  <c r="G6" i="1"/>
  <c r="G11" i="1"/>
  <c r="G15" i="1"/>
  <c r="E16" i="1"/>
  <c r="E13" i="1"/>
  <c r="E10" i="1"/>
  <c r="E12" i="1"/>
  <c r="E4" i="1"/>
  <c r="E3" i="1"/>
  <c r="E2" i="1"/>
  <c r="E8" i="1"/>
  <c r="E14" i="1"/>
  <c r="E9" i="1"/>
  <c r="E7" i="1"/>
  <c r="E6" i="1"/>
  <c r="E5" i="1"/>
  <c r="E11" i="1"/>
  <c r="E15" i="1"/>
</calcChain>
</file>

<file path=xl/sharedStrings.xml><?xml version="1.0" encoding="utf-8"?>
<sst xmlns="http://schemas.openxmlformats.org/spreadsheetml/2006/main" count="37" uniqueCount="25">
  <si>
    <t>Azienda</t>
  </si>
  <si>
    <t>Categoria</t>
  </si>
  <si>
    <t>Dipendenti</t>
  </si>
  <si>
    <t>Discoteca Matrix</t>
  </si>
  <si>
    <t>Discoteca</t>
  </si>
  <si>
    <t>Discoteca Alibi</t>
  </si>
  <si>
    <t>Techno Club</t>
  </si>
  <si>
    <t>Club 73</t>
  </si>
  <si>
    <t>Ristorante La Vela</t>
  </si>
  <si>
    <t>Ristorante</t>
  </si>
  <si>
    <t>Ristorante Fusion</t>
  </si>
  <si>
    <t>Ristorante Da Mario</t>
  </si>
  <si>
    <t>Pizzeria Napoli</t>
  </si>
  <si>
    <t>Lounge Bar Elite</t>
  </si>
  <si>
    <t>Bar</t>
  </si>
  <si>
    <t>Trattoria Nonna</t>
  </si>
  <si>
    <t>Pub Il Trifoglio</t>
  </si>
  <si>
    <t>Caffè Centrale</t>
  </si>
  <si>
    <t>Osteria del Borgo</t>
  </si>
  <si>
    <t>Bar Roma</t>
  </si>
  <si>
    <t>Bar Sport</t>
  </si>
  <si>
    <t>Peso_Dipendenti</t>
  </si>
  <si>
    <t>Peso_Investimento</t>
  </si>
  <si>
    <t>Punteggio_Totale</t>
  </si>
  <si>
    <t>Investimento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</si>
</sst>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trike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0" fillId="0" borderId="0" xfId="0" applyAlignment="1">
      <alignment horizontal="center" vertical="center"/>
    </xf>
    <xf numFmtId="0" fontId="2" fillId="0" borderId="0" xfId="0" applyFont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"/>
  <sheetViews>
    <sheetView tabSelected="1" workbookViewId="0">
      <selection activeCell="H16" sqref="H16"/>
    </sheetView>
  </sheetViews>
  <sheetFormatPr defaultRowHeight="15" x14ac:dyDescent="0.25"/>
  <cols>
    <col min="1" max="1" width="18.7109375" bestFit="1" customWidth="1"/>
    <col min="2" max="2" width="15.140625" customWidth="1"/>
    <col min="3" max="3" width="16.7109375" customWidth="1"/>
    <col min="4" max="5" width="21.85546875" customWidth="1"/>
    <col min="6" max="6" width="24.28515625" customWidth="1"/>
    <col min="7" max="7" width="30.1406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24</v>
      </c>
      <c r="E1" s="1" t="s">
        <v>21</v>
      </c>
      <c r="F1" s="1" t="s">
        <v>22</v>
      </c>
      <c r="G1" s="1" t="s">
        <v>23</v>
      </c>
    </row>
    <row r="2" spans="1:8" x14ac:dyDescent="0.25">
      <c r="A2" t="s">
        <v>3</v>
      </c>
      <c r="B2" t="s">
        <v>4</v>
      </c>
      <c r="C2" s="2">
        <v>30</v>
      </c>
      <c r="D2" s="2">
        <v>120000</v>
      </c>
      <c r="E2" s="2">
        <f t="shared" ref="E2:E16" si="0">C2*5</f>
        <v>150</v>
      </c>
      <c r="F2" s="2">
        <f t="shared" ref="F2:F16" si="1">(D2/10000)*10</f>
        <v>120</v>
      </c>
      <c r="G2" s="2">
        <f t="shared" ref="G2:G16" si="2">E2+F2</f>
        <v>270</v>
      </c>
    </row>
    <row r="3" spans="1:8" x14ac:dyDescent="0.25">
      <c r="A3" t="s">
        <v>5</v>
      </c>
      <c r="B3" t="s">
        <v>4</v>
      </c>
      <c r="C3" s="2">
        <v>25</v>
      </c>
      <c r="D3" s="2">
        <v>100000</v>
      </c>
      <c r="E3" s="2">
        <f t="shared" si="0"/>
        <v>125</v>
      </c>
      <c r="F3" s="2">
        <f t="shared" si="1"/>
        <v>100</v>
      </c>
      <c r="G3" s="2">
        <f t="shared" si="2"/>
        <v>225</v>
      </c>
    </row>
    <row r="4" spans="1:8" x14ac:dyDescent="0.25">
      <c r="A4" t="s">
        <v>7</v>
      </c>
      <c r="B4" t="s">
        <v>4</v>
      </c>
      <c r="C4" s="2">
        <v>18</v>
      </c>
      <c r="D4" s="2">
        <v>90000</v>
      </c>
      <c r="E4" s="2">
        <f t="shared" si="0"/>
        <v>90</v>
      </c>
      <c r="F4" s="2">
        <f t="shared" si="1"/>
        <v>90</v>
      </c>
      <c r="G4" s="2">
        <f t="shared" si="2"/>
        <v>180</v>
      </c>
    </row>
    <row r="5" spans="1:8" x14ac:dyDescent="0.25">
      <c r="A5" t="s">
        <v>8</v>
      </c>
      <c r="B5" t="s">
        <v>9</v>
      </c>
      <c r="C5" s="2">
        <v>15</v>
      </c>
      <c r="D5" s="2">
        <v>65000</v>
      </c>
      <c r="E5" s="2">
        <f t="shared" si="0"/>
        <v>75</v>
      </c>
      <c r="F5" s="2">
        <f t="shared" si="1"/>
        <v>65</v>
      </c>
      <c r="G5" s="2">
        <f t="shared" si="2"/>
        <v>140</v>
      </c>
    </row>
    <row r="6" spans="1:8" x14ac:dyDescent="0.25">
      <c r="A6" t="s">
        <v>10</v>
      </c>
      <c r="B6" t="s">
        <v>9</v>
      </c>
      <c r="C6" s="2">
        <v>14</v>
      </c>
      <c r="D6" s="2">
        <v>95000</v>
      </c>
      <c r="E6" s="2">
        <f t="shared" si="0"/>
        <v>70</v>
      </c>
      <c r="F6" s="2">
        <f t="shared" si="1"/>
        <v>95</v>
      </c>
      <c r="G6" s="2">
        <f t="shared" si="2"/>
        <v>165</v>
      </c>
    </row>
    <row r="7" spans="1:8" x14ac:dyDescent="0.25">
      <c r="A7" t="s">
        <v>11</v>
      </c>
      <c r="B7" t="s">
        <v>9</v>
      </c>
      <c r="C7" s="2">
        <v>12</v>
      </c>
      <c r="D7" s="2">
        <v>80000</v>
      </c>
      <c r="E7" s="2">
        <f t="shared" si="0"/>
        <v>60</v>
      </c>
      <c r="F7" s="2">
        <f t="shared" si="1"/>
        <v>80</v>
      </c>
      <c r="G7" s="2">
        <f t="shared" si="2"/>
        <v>140</v>
      </c>
    </row>
    <row r="8" spans="1:8" x14ac:dyDescent="0.25">
      <c r="A8" t="s">
        <v>6</v>
      </c>
      <c r="B8" t="s">
        <v>4</v>
      </c>
      <c r="C8" s="2">
        <v>20</v>
      </c>
      <c r="D8" s="2">
        <v>14000</v>
      </c>
      <c r="E8" s="2">
        <f t="shared" si="0"/>
        <v>100</v>
      </c>
      <c r="F8" s="2">
        <f t="shared" si="1"/>
        <v>14</v>
      </c>
      <c r="G8" s="2">
        <f t="shared" si="2"/>
        <v>114</v>
      </c>
    </row>
    <row r="9" spans="1:8" x14ac:dyDescent="0.25">
      <c r="A9" t="s">
        <v>12</v>
      </c>
      <c r="B9" t="s">
        <v>9</v>
      </c>
      <c r="C9" s="2">
        <v>10</v>
      </c>
      <c r="D9" s="2">
        <v>60000</v>
      </c>
      <c r="E9" s="2">
        <f t="shared" si="0"/>
        <v>50</v>
      </c>
      <c r="F9" s="2">
        <f t="shared" si="1"/>
        <v>60</v>
      </c>
      <c r="G9" s="2">
        <f t="shared" si="2"/>
        <v>110</v>
      </c>
    </row>
    <row r="10" spans="1:8" x14ac:dyDescent="0.25">
      <c r="A10" t="s">
        <v>13</v>
      </c>
      <c r="B10" t="s">
        <v>14</v>
      </c>
      <c r="C10" s="2">
        <v>8</v>
      </c>
      <c r="D10" s="2">
        <v>55000</v>
      </c>
      <c r="E10" s="2">
        <f t="shared" si="0"/>
        <v>40</v>
      </c>
      <c r="F10" s="2">
        <f t="shared" si="1"/>
        <v>55</v>
      </c>
      <c r="G10" s="2">
        <f t="shared" si="2"/>
        <v>95</v>
      </c>
    </row>
    <row r="11" spans="1:8" x14ac:dyDescent="0.25">
      <c r="A11" t="s">
        <v>15</v>
      </c>
      <c r="B11" t="s">
        <v>9</v>
      </c>
      <c r="C11" s="2">
        <v>8</v>
      </c>
      <c r="D11" s="2">
        <v>45000</v>
      </c>
      <c r="E11" s="2">
        <f t="shared" si="0"/>
        <v>40</v>
      </c>
      <c r="F11" s="2">
        <f t="shared" si="1"/>
        <v>45</v>
      </c>
      <c r="G11" s="2">
        <f t="shared" si="2"/>
        <v>85</v>
      </c>
    </row>
    <row r="12" spans="1:8" x14ac:dyDescent="0.25">
      <c r="A12" t="s">
        <v>16</v>
      </c>
      <c r="B12" t="s">
        <v>14</v>
      </c>
      <c r="C12" s="2">
        <v>7</v>
      </c>
      <c r="D12" s="2">
        <v>40000</v>
      </c>
      <c r="E12" s="2">
        <f t="shared" si="0"/>
        <v>35</v>
      </c>
      <c r="F12" s="2">
        <f t="shared" si="1"/>
        <v>40</v>
      </c>
      <c r="G12" s="2">
        <f t="shared" si="2"/>
        <v>75</v>
      </c>
    </row>
    <row r="13" spans="1:8" x14ac:dyDescent="0.25">
      <c r="A13" t="s">
        <v>17</v>
      </c>
      <c r="B13" t="s">
        <v>14</v>
      </c>
      <c r="C13" s="2">
        <v>6</v>
      </c>
      <c r="D13" s="2">
        <v>35000</v>
      </c>
      <c r="E13" s="2">
        <f t="shared" si="0"/>
        <v>30</v>
      </c>
      <c r="F13" s="2">
        <f t="shared" si="1"/>
        <v>35</v>
      </c>
      <c r="G13" s="2">
        <f t="shared" si="2"/>
        <v>65</v>
      </c>
    </row>
    <row r="14" spans="1:8" x14ac:dyDescent="0.25">
      <c r="A14" t="s">
        <v>18</v>
      </c>
      <c r="B14" t="s">
        <v>9</v>
      </c>
      <c r="C14" s="2">
        <v>5</v>
      </c>
      <c r="D14" s="2">
        <v>30000</v>
      </c>
      <c r="E14" s="2">
        <f t="shared" si="0"/>
        <v>25</v>
      </c>
      <c r="F14" s="2">
        <f t="shared" si="1"/>
        <v>30</v>
      </c>
      <c r="G14" s="2">
        <f t="shared" si="2"/>
        <v>55</v>
      </c>
    </row>
    <row r="15" spans="1:8" x14ac:dyDescent="0.25">
      <c r="A15" t="s">
        <v>19</v>
      </c>
      <c r="B15" t="s">
        <v>14</v>
      </c>
      <c r="C15" s="2">
        <v>4</v>
      </c>
      <c r="D15" s="2">
        <v>20000</v>
      </c>
      <c r="E15" s="2">
        <f t="shared" si="0"/>
        <v>20</v>
      </c>
      <c r="F15" s="2">
        <f t="shared" si="1"/>
        <v>20</v>
      </c>
      <c r="G15" s="2">
        <f t="shared" si="2"/>
        <v>40</v>
      </c>
    </row>
    <row r="16" spans="1:8" x14ac:dyDescent="0.25">
      <c r="A16" t="s">
        <v>20</v>
      </c>
      <c r="B16" t="s">
        <v>14</v>
      </c>
      <c r="C16" s="2">
        <v>2</v>
      </c>
      <c r="D16" s="2">
        <v>10000</v>
      </c>
      <c r="E16" s="2">
        <f t="shared" si="0"/>
        <v>10</v>
      </c>
      <c r="F16" s="2">
        <f t="shared" si="1"/>
        <v>10</v>
      </c>
      <c r="G16" s="2">
        <f t="shared" si="2"/>
        <v>20</v>
      </c>
      <c r="H16" s="3"/>
    </row>
  </sheetData>
  <autoFilter ref="A1:G16" xr:uid="{00000000-0001-0000-0000-000000000000}">
    <sortState xmlns:xlrd2="http://schemas.microsoft.com/office/spreadsheetml/2017/richdata2" ref="A2:G16">
      <sortCondition descending="1" ref="G1:G16"/>
    </sortState>
  </autoFilter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Iulian Condrea</cp:lastModifiedBy>
  <dcterms:created xsi:type="dcterms:W3CDTF">2026-06-10T18:42:36Z</dcterms:created>
  <dcterms:modified xsi:type="dcterms:W3CDTF">2026-06-10T20:22:26Z</dcterms:modified>
</cp:coreProperties>
</file>